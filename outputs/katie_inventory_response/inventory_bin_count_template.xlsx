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65290ee7f1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cff40899e274906"/>
    <x:sheet xmlns:r="http://schemas.openxmlformats.org/officeDocument/2006/relationships" name="Settings" sheetId="2" r:id="R004f2931fe244604"/>
    <x:sheet xmlns:r="http://schemas.openxmlformats.org/officeDocument/2006/relationships" name="SKU Master" sheetId="3" r:id="Rd76f57d45a4142d0"/>
    <x:sheet xmlns:r="http://schemas.openxmlformats.org/officeDocument/2006/relationships" name="Bin Labels" sheetId="4" r:id="R1555e071a9214453"/>
    <x:sheet xmlns:r="http://schemas.openxmlformats.org/officeDocument/2006/relationships" name="Count Entry" sheetId="5" r:id="R4598c7b7668a47ae"/>
    <x:sheet xmlns:r="http://schemas.openxmlformats.org/officeDocument/2006/relationships" name="Accuracy Model" sheetId="6" r:id="Raa66b738873a4b09"/>
    <x:sheet xmlns:r="http://schemas.openxmlformats.org/officeDocument/2006/relationships" name="Procurement Plan" sheetId="7" r:id="R961b1840477c44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%"/>
    <x:numFmt numFmtId="202" formatCode="0.000"/>
    <x:numFmt numFmtId="203" formatCode="yyyy-mm-dd"/>
    <x:numFmt numFmtId="204" formatCode="0"/>
  </x:numFmts>
  <x:fonts count="4">
    <x:font>
      <x:sz val="11"/>
      <x:name val="Carlito"/>
    </x:font>
    <x:font>
      <x:b/>
      <x:sz val="11"/>
      <x:color rgb="111827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9">
    <x:border/>
    <x:border>
      <x:left>
        <x:color rgb="D1D5DB"/>
      </x:left>
      <x:top>
        <x:color rgb="D1D5DB"/>
      </x:top>
    </x:border>
    <x:border>
      <x:top>
        <x:color rgb="D1D5DB"/>
      </x:top>
    </x:border>
    <x:border>
      <x:right>
        <x:color rgb="D1D5DB"/>
      </x:right>
      <x:top>
        <x:color rgb="D1D5DB"/>
      </x:top>
    </x:border>
    <x:border>
      <x:left>
        <x:color rgb="D1D5DB"/>
      </x:left>
    </x:border>
    <x:border>
      <x:right>
        <x:color rgb="D1D5DB"/>
      </x:right>
    </x:border>
    <x:border>
      <x:left>
        <x:color rgb="D1D5DB"/>
      </x:left>
      <x:bottom>
        <x:color rgb="D1D5DB"/>
      </x:bottom>
    </x:border>
    <x:border>
      <x:bottom>
        <x:color rgb="D1D5DB"/>
      </x:bottom>
    </x:border>
    <x:border>
      <x:right>
        <x:color rgb="D1D5DB"/>
      </x:right>
      <x:bottom>
        <x:color rgb="D1D5DB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0" borderId="0" xfId="0" applyNumberFormat="1" applyFont="1" applyFill="0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borderId="0" xfId="0" applyNumberFormat="1" applyFont="1" applyFill="0" applyBorder="1" applyAlignment="1">
      <x:alignment wrapText="1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borderId="0" xfId="0" applyNumberFormat="1" applyFont="1" applyFill="0" applyBorder="1" applyAlignment="1">
      <x:alignment wrapText="1"/>
    </x:xf>
    <x:xf numFmtId="0" fontId="0" borderId="1" xfId="0" applyNumberFormat="1" applyFont="1" applyFill="0" applyBorder="1" applyAlignment="1">
      <x:alignment wrapText="1"/>
    </x:xf>
    <x:xf numFmtId="0" fontId="0" borderId="2" xfId="0" applyNumberFormat="1" applyFont="1" applyFill="0" applyBorder="1" applyAlignment="1">
      <x:alignment wrapText="1"/>
    </x:xf>
    <x:xf numFmtId="0" fontId="0" borderId="3" xfId="0" applyNumberFormat="1" applyFont="1" applyFill="0" applyBorder="1" applyAlignment="1">
      <x:alignment wrapText="1"/>
    </x:xf>
    <x:xf numFmtId="0" fontId="0" borderId="4" xfId="0" applyNumberFormat="1" applyFont="1" applyFill="0" applyBorder="1" applyAlignment="1">
      <x:alignment wrapText="1"/>
    </x:xf>
    <x:xf numFmtId="0" fontId="0" borderId="5" xfId="0" applyNumberFormat="1" applyFont="1" applyFill="0" applyBorder="1" applyAlignment="1">
      <x:alignment wrapText="1"/>
    </x:xf>
    <x:xf numFmtId="0" fontId="0" borderId="6" xfId="0" applyNumberFormat="1" applyFont="1" applyFill="0" applyBorder="1" applyAlignment="1">
      <x:alignment wrapText="1"/>
    </x:xf>
    <x:xf numFmtId="0" fontId="0" borderId="7" xfId="0" applyNumberFormat="1" applyFont="1" applyFill="0" applyBorder="1" applyAlignment="1">
      <x:alignment wrapText="1"/>
    </x:xf>
    <x:xf numFmtId="0" fontId="0" borderId="8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803fe78dc1422f" /><Relationship Type="http://schemas.openxmlformats.org/officeDocument/2006/relationships/theme" Target="/xl/theme/theme1.xml" Id="R249cbec32903461e" /><Relationship Type="http://schemas.openxmlformats.org/officeDocument/2006/relationships/sharedStrings" Target="/xl/sharedStrings.xml" Id="Rc748ca87f3004788" /><Relationship Type="http://schemas.openxmlformats.org/officeDocument/2006/relationships/worksheet" Target="/xl/worksheets/sheet1.xml" Id="Rfcff40899e274906" /><Relationship Type="http://schemas.openxmlformats.org/officeDocument/2006/relationships/worksheet" Target="/xl/worksheets/sheet2.xml" Id="R004f2931fe244604" /><Relationship Type="http://schemas.openxmlformats.org/officeDocument/2006/relationships/worksheet" Target="/xl/worksheets/sheet3.xml" Id="Rd76f57d45a4142d0" /><Relationship Type="http://schemas.openxmlformats.org/officeDocument/2006/relationships/worksheet" Target="/xl/worksheets/sheet4.xml" Id="R1555e071a9214453" /><Relationship Type="http://schemas.openxmlformats.org/officeDocument/2006/relationships/worksheet" Target="/xl/worksheets/sheet5.xml" Id="R4598c7b7668a47ae" /><Relationship Type="http://schemas.openxmlformats.org/officeDocument/2006/relationships/worksheet" Target="/xl/worksheets/sheet6.xml" Id="Raa66b738873a4b09" /><Relationship Type="http://schemas.openxmlformats.org/officeDocument/2006/relationships/worksheet" Target="/xl/worksheets/sheet7.xml" Id="R961b1840477c44ae" /></Relationships>
</file>

<file path=xl/tables/table1.xml><?xml version="1.0" encoding="utf-8"?>
<x:table xmlns:x="http://schemas.openxmlformats.org/spreadsheetml/2006/main" id="1" name="SkuMasterTable" displayName="SkuMasterTable" ref="A4:J12" headerRowCount="1">
  <x:tableColumns count="10">
    <x:tableColumn id="1" name="SKU"/>
    <x:tableColumn id="2" name="Product Name"/>
    <x:tableColumn id="3" name="Unit Weight oz"/>
    <x:tableColumn id="4" name="Sample Count"/>
    <x:tableColumn id="5" name="Sample Weight oz"/>
    <x:tableColumn id="6" name="Calculated Unit Weight oz"/>
    <x:tableColumn id="7" name="Weight Source"/>
    <x:tableColumn id="8" name="Last Verified"/>
    <x:tableColumn id="9" name="Active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BinLabelsTable" displayName="BinLabelsTable" ref="A4:H12" headerRowCount="1">
  <x:tableColumns count="8">
    <x:tableColumn id="1" name="Bin Barcode"/>
    <x:tableColumn id="2" name="SKU"/>
    <x:tableColumn id="3" name="Product Name"/>
    <x:tableColumn id="4" name="Empty Bin Weight oz"/>
    <x:tableColumn id="5" name="Location"/>
    <x:tableColumn id="6" name="Human Label Text"/>
    <x:tableColumn id="7" name="Barcode Data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ountEntryTable" displayName="CountEntryTable" ref="A4:O14" headerRowCount="1">
  <x:tableColumns count="15">
    <x:tableColumn id="1" name="Count Date"/>
    <x:tableColumn id="2" name="Operator"/>
    <x:tableColumn id="3" name="Bin Barcode"/>
    <x:tableColumn id="4" name="SKU"/>
    <x:tableColumn id="5" name="Product Name"/>
    <x:tableColumn id="6" name="Unit Weight oz"/>
    <x:tableColumn id="7" name="Empty Bin Weight oz"/>
    <x:tableColumn id="8" name="Total Bin Weight lb"/>
    <x:tableColumn id="9" name="Total Bin Weight oz"/>
    <x:tableColumn id="10" name="Net Product Weight oz"/>
    <x:tableColumn id="11" name="Raw Qty"/>
    <x:tableColumn id="12" name="Final Qty"/>
    <x:tableColumn id="13" name="Residual Units"/>
    <x:tableColumn id="14" name="Status"/>
    <x:tableColumn id="1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rocurementPlanTable" displayName="ProcurementPlanTable" ref="A4:F14" headerRowCount="1">
  <x:tableColumns count="6">
    <x:tableColumn id="1" name="Priority"/>
    <x:tableColumn id="2" name="Category"/>
    <x:tableColumn id="3" name="Recommended Type"/>
    <x:tableColumn id="4" name="Budget Range"/>
    <x:tableColumn id="5" name="Why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6591437eab14a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02a8d23f71f4d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1c08b1c5b4048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91418f27e7eb41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610000610351562" hidden="0" customWidth="1"/>
    <x:col min="2" max="2" width="15.34000015258789" hidden="0" customWidth="1"/>
    <x:col min="3" max="3" width="23.93000030517578" hidden="0" customWidth="1"/>
    <x:col min="4" max="4" width="23.93000030517578" hidden="0" customWidth="1"/>
    <x:col min="5" max="5" width="23.93000030517578" hidden="0" customWidth="1"/>
    <x:col min="6" max="6" width="23.93000030517578" hidden="0" customWidth="1"/>
    <x:col min="7" max="7" width="23.93000030517578" hidden="0" customWidth="1"/>
    <x:col min="8" max="8" width="23.93000030517578" hidden="0" customWidth="1"/>
  </x:cols>
  <x:sheetData>
    <x:row r="1" ht="15" hidden="0" customHeight="1">
      <x:c r="A1" s="2" t="str">
        <x:v>Barcode Bin Count MVP</x:v>
      </x:c>
      <x:c r="B1" s="3"/>
      <x:c r="C1" s="3"/>
      <x:c r="D1" s="3"/>
      <x:c r="E1" s="3"/>
      <x:c r="F1" s="3"/>
      <x:c r="G1" s="3"/>
      <x:c r="H1" s="3"/>
    </x:row>
    <x:row r="2" ht="66" hidden="0" customHeight="1">
      <x:c r="A2" s="6" t="str">
        <x:v>Use this workbook as the first no-code version. It proves the workflow before buying scale integration software or building a custom app.</x:v>
      </x:c>
      <x:c r="B2" s="3"/>
      <x:c r="C2" s="3"/>
      <x:c r="D2" s="3"/>
      <x:c r="E2" s="3"/>
      <x:c r="F2" s="3"/>
      <x:c r="G2" s="3"/>
      <x:c r="H2" s="3"/>
    </x:row>
    <x:row r="3"/>
    <x:row r="4" ht="26.399999618530273" hidden="0" customHeight="1">
      <x:c r="A4" s="8" t="str">
        <x:v>Metric</x:v>
      </x:c>
      <x:c r="B4" s="8" t="str">
        <x:v>Value</x:v>
      </x:c>
      <x:c r="D4" s="23" t="str">
        <x:v>Recommended MVP Workflow</x:v>
      </x:c>
      <x:c r="E4" s="16" t="str"/>
      <x:c r="F4" s="16" t="str"/>
      <x:c r="G4" s="16" t="str"/>
      <x:c r="H4" s="17" t="str"/>
    </x:row>
    <x:row r="5" ht="39.599998474121094" hidden="0" customHeight="1">
      <x:c r="A5" t="str">
        <x:v>Rows counted</x:v>
      </x:c>
      <x:c r="B5" s="13" t="n">
        <x:f>COUNTIF('Count Entry'!$N$5:$N$504,"OK")+COUNTIF('Count Entry'!$N$5:$N$504,"REWEIGH")+COUNTIF('Count Entry'!$N$5:$N$504,"UNKNOWN BIN")+COUNTIF('Count Entry'!$N$5:$N$504,"MISSING UNIT WT")+COUNTIF('Count Entry'!$N$5:$N$504,"GROSS &lt; TARE")</x:f>
        <x:v>1</x:v>
      </x:c>
      <x:c r="D5" s="18" t="str">
        <x:v>1. Export active SKUs and create a trusted unit weight in SKU Master.</x:v>
      </x:c>
      <x:c r="E5" s="14" t="str"/>
      <x:c r="F5" s="14" t="str"/>
      <x:c r="G5" s="14" t="str"/>
      <x:c r="H5" s="19" t="str"/>
    </x:row>
    <x:row r="6" ht="39.599998474121094" hidden="0" customHeight="1">
      <x:c r="A6" t="str">
        <x:v>OK rows</x:v>
      </x:c>
      <x:c r="B6" s="13" t="n">
        <x:f>COUNTIF('Count Entry'!$N$5:$N$504,"OK")</x:f>
        <x:v>1</x:v>
      </x:c>
      <x:c r="D6" s="18" t="str">
        <x:v>2. Create one Bin Barcode per inventory bin and print labels from Bin Labels.</x:v>
      </x:c>
      <x:c r="E6" s="14" t="str"/>
      <x:c r="F6" s="14" t="str"/>
      <x:c r="G6" s="14" t="str"/>
      <x:c r="H6" s="19" t="str"/>
    </x:row>
    <x:row r="7" ht="39.599998474121094" hidden="0" customHeight="1">
      <x:c r="A7" t="str">
        <x:v>Rows needing review</x:v>
      </x:c>
      <x:c r="B7" s="13" t="n">
        <x:f>B5-B6</x:f>
        <x:v>0</x:v>
      </x:c>
      <x:c r="D7" s="18" t="str">
        <x:v>3. Scan the bin into Count Entry, type gross weight in pounds, review Final Qty.</x:v>
      </x:c>
      <x:c r="E7" s="14" t="str"/>
      <x:c r="F7" s="14" t="str"/>
      <x:c r="G7" s="14" t="str"/>
      <x:c r="H7" s="19" t="str"/>
    </x:row>
    <x:row r="8" ht="52.79999923706055" hidden="0" customHeight="1">
      <x:c r="A8" t="str">
        <x:v>Estimated units counted</x:v>
      </x:c>
      <x:c r="B8" s="13" t="n">
        <x:f>SUM('Count Entry'!$L$5:$L$504)</x:f>
        <x:v>203</x:v>
      </x:c>
      <x:c r="D8" s="18" t="str">
        <x:v>4. Reweigh or manually count rows with REWEIGH / UNKNOWN / MISSING statuses.</x:v>
      </x:c>
      <x:c r="E8" s="14" t="str"/>
      <x:c r="F8" s="14" t="str"/>
      <x:c r="G8" s="14" t="str"/>
      <x:c r="H8" s="19" t="str"/>
    </x:row>
    <x:row r="9" ht="39.599998474121094" hidden="0" customHeight="1">
      <x:c r="D9" s="18" t="str">
        <x:v>5. Export Count Entry to the inventory system after manager review.</x:v>
      </x:c>
      <x:c r="E9" s="14" t="str"/>
      <x:c r="F9" s="14" t="str"/>
      <x:c r="G9" s="14" t="str"/>
      <x:c r="H9" s="19" t="str"/>
    </x:row>
    <x:row r="10" ht="15" hidden="0" customHeight="1">
      <x:c r="D10" s="20" t="str"/>
      <x:c r="E10" s="21" t="str"/>
      <x:c r="F10" s="21" t="str"/>
      <x:c r="G10" s="21" t="str"/>
      <x:c r="H10" s="22" t="str"/>
    </x:row>
  </x:sheetData>
  <x:mergeCells>
    <x:mergeCell ref="A2:H2"/>
    <x:mergeCell ref="D4:H4"/>
    <x:mergeCell ref="D5:H5"/>
    <x:mergeCell ref="D6:H6"/>
    <x:mergeCell ref="D7:H7"/>
    <x:mergeCell ref="D8:H8"/>
    <x:mergeCell ref="D9:H9"/>
    <x:mergeCell ref="D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49999618530273" hidden="0" customWidth="1"/>
    <x:col min="2" max="2" width="14.109999656677246" hidden="0" customWidth="1"/>
    <x:col min="3" max="3" width="46.0099983215332" hidden="0" customWidth="1"/>
  </x:cols>
  <x:sheetData>
    <x:row r="1" ht="15" hidden="0" customHeight="1">
      <x:c r="A1" s="2" t="str">
        <x:v>Inventory Count Settings</x:v>
      </x:c>
      <x:c r="B1" s="3"/>
      <x:c r="C1" s="3"/>
    </x:row>
    <x:row r="2" ht="39.599998474121094" hidden="0" customHeight="1">
      <x:c r="A2" s="6" t="str">
        <x:v>Edit these assumptions once, then let Count Entry calculate every scanned bin.</x:v>
      </x:c>
      <x:c r="B2" s="3"/>
      <x:c r="C2" s="3"/>
      <x:c r="D2" s="3"/>
      <x:c r="E2" s="3"/>
      <x:c r="F2" s="3"/>
      <x:c r="G2" s="3"/>
      <x:c r="H2" s="3"/>
    </x:row>
    <x:row r="3"/>
    <x:row r="4" ht="15" hidden="0" customHeight="1">
      <x:c r="A4" s="8" t="str">
        <x:v>Setting</x:v>
      </x:c>
      <x:c r="B4" s="8" t="str">
        <x:v>Value</x:v>
      </x:c>
      <x:c r="C4" s="8" t="str">
        <x:v>Notes</x:v>
      </x:c>
    </x:row>
    <x:row r="5" ht="15" hidden="0" customHeight="1">
      <x:c r="A5" t="str">
        <x:v>Standard empty bin weight oz</x:v>
      </x:c>
      <x:c r="B5" s="9" t="n">
        <x:v>56</x:v>
      </x:c>
      <x:c r="C5" t="str">
        <x:v>Default tare from Katie's process. Override per bin in Bin Labels when needed.</x:v>
      </x:c>
    </x:row>
    <x:row r="6" ht="15" hidden="0" customHeight="1">
      <x:c r="A6" t="str">
        <x:v>Fractional quantity flag threshold</x:v>
      </x:c>
      <x:c r="B6" s="9" t="n">
        <x:v>0.35</x:v>
      </x:c>
      <x:c r="C6" t="str">
        <x:v>Flags a count when raw quantity is too far from a whole number.</x:v>
      </x:c>
    </x:row>
    <x:row r="7" ht="15" hidden="0" customHeight="1">
      <x:c r="A7" t="str">
        <x:v>Default scale readability oz</x:v>
      </x:c>
      <x:c r="B7" s="9" t="n">
        <x:v>0.8</x:v>
      </x:c>
      <x:c r="C7" t="str">
        <x:v>0.05 lb equals 0.8 oz. Update if your scale has finer or coarser readability.</x:v>
      </x:c>
    </x:row>
    <x:row r="8" ht="15" hidden="0" customHeight="1">
      <x:c r="A8" t="str">
        <x:v>Default bin tare variance oz</x:v>
      </x:c>
      <x:c r="B8" s="9" t="n">
        <x:v>1</x:v>
      </x:c>
      <x:c r="C8" t="str">
        <x:v>Expected difference between actual empty bins and the standard tare.</x:v>
      </x:c>
    </x:row>
    <x:row r="9" ht="15" hidden="0" customHeight="1">
      <x:c r="A9" t="str">
        <x:v>Default unit weight error %</x:v>
      </x:c>
      <x:c r="B9" s="10" t="n">
        <x:v>0.01</x:v>
      </x:c>
      <x:c r="C9" t="str">
        <x:v>Used only in Accuracy Model to estimate count uncertainty.</x:v>
      </x:c>
    </x:row>
    <x:row r="10" ht="15" hidden="0" customHeight="1">
      <x:c r="A10" t="str">
        <x:v>Rounding rule</x:v>
      </x:c>
      <x:c r="B10" t="str">
        <x:v>Nearest whole unit</x:v>
      </x:c>
      <x:c r="C10" t="str">
        <x:v>Final quantity uses ROUND(raw quantity, 0).</x:v>
      </x:c>
    </x:row>
    <x:row r="11" ht="15" hidden="0" customHeight="1">
      <x:c r="A11" t="str">
        <x:v>Barcode symbology</x:v>
      </x:c>
      <x:c r="B11" t="str">
        <x:v>Code 128</x:v>
      </x:c>
      <x:c r="C11" t="str">
        <x:v>Recommended for internal SKU/bin labels.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33.7400016784668" hidden="0" customWidth="1"/>
    <x:col min="3" max="3" width="15.34000015258789" hidden="0" customWidth="1"/>
    <x:col min="4" max="4" width="14.109999656677246" hidden="0" customWidth="1"/>
    <x:col min="5" max="5" width="16.559999465942383" hidden="0" customWidth="1"/>
    <x:col min="6" max="6" width="16.559999465942383" hidden="0" customWidth="1"/>
    <x:col min="7" max="7" width="19.020000457763672" hidden="0" customWidth="1"/>
    <x:col min="8" max="8" width="16.559999465942383" hidden="0" customWidth="1"/>
    <x:col min="9" max="9" width="14.109999656677246" hidden="0" customWidth="1"/>
    <x:col min="10" max="10" width="33.7400016784668" hidden="0" customWidth="1"/>
  </x:cols>
  <x:sheetData>
    <x:row r="1" ht="15" hidden="0" customHeight="1">
      <x:c r="A1" s="2" t="str">
        <x:v>SKU Master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79.19999694824219" hidden="0" customHeight="1">
      <x:c r="A2" s="6" t="str">
        <x:v>Maintain one trusted unit weight per SKU. Use sample counts to verify or improve the part weight before inventory week.</x:v>
      </x:c>
      <x:c r="B2" s="3"/>
      <x:c r="C2" s="3"/>
      <x:c r="D2" s="3"/>
      <x:c r="E2" s="3"/>
      <x:c r="F2" s="3"/>
      <x:c r="G2" s="3"/>
      <x:c r="H2" s="3"/>
    </x:row>
    <x:row r="3"/>
    <x:row r="4" ht="26.399999618530273" hidden="0" customHeight="1">
      <x:c r="A4" s="8" t="str">
        <x:v>SKU</x:v>
      </x:c>
      <x:c r="B4" s="8" t="str">
        <x:v>Product Name</x:v>
      </x:c>
      <x:c r="C4" s="8" t="str">
        <x:v>Unit Weight oz</x:v>
      </x:c>
      <x:c r="D4" s="8" t="str">
        <x:v>Sample Count</x:v>
      </x:c>
      <x:c r="E4" s="8" t="str">
        <x:v>Sample Weight oz</x:v>
      </x:c>
      <x:c r="F4" s="8" t="str">
        <x:v>Calculated Unit Weight oz</x:v>
      </x:c>
      <x:c r="G4" s="8" t="str">
        <x:v>Weight Source</x:v>
      </x:c>
      <x:c r="H4" s="8" t="str">
        <x:v>Last Verified</x:v>
      </x:c>
      <x:c r="I4" s="8" t="str">
        <x:v>Active</x:v>
      </x:c>
      <x:c r="J4" s="8" t="str">
        <x:v>Notes</x:v>
      </x:c>
    </x:row>
    <x:row r="5" ht="15" hidden="0" customHeight="1">
      <x:c r="A5" t="str">
        <x:v>EXAMPLE-1.3OZ</x:v>
      </x:c>
      <x:c r="B5" t="str">
        <x:v>Example part from Katie email</x:v>
      </x:c>
      <x:c r="C5" s="11" t="n">
        <x:v>1.3</x:v>
      </x:c>
      <x:c r="D5" s="11" t="n">
        <x:v>100</x:v>
      </x:c>
      <x:c r="E5" s="11" t="n">
        <x:v>130</x:v>
      </x:c>
      <x:c r="F5" s="11" t="n">
        <x:f>IF(OR(D5="",E5=""),"",E5/D5)</x:f>
        <x:v>1.3</x:v>
      </x:c>
      <x:c r="G5" t="str">
        <x:v>Known weight</x:v>
      </x:c>
      <x:c r="H5" s="12" t="n">
        <x:v>46156</x:v>
      </x:c>
      <x:c r="I5" t="str">
        <x:v>Yes</x:v>
      </x:c>
      <x:c r="J5" t="str">
        <x:v>Replace with real iBolt SKU.</x:v>
      </x:c>
    </x:row>
    <x:row r="6" ht="15" hidden="0" customHeight="1">
      <x:c r="A6" t="str">
        <x:v>SKU-1001</x:v>
      </x:c>
      <x:c r="B6" t="str">
        <x:v>Tablet mount base</x:v>
      </x:c>
      <x:c r="C6" s="11" t="n">
        <x:v>2.4</x:v>
      </x:c>
      <x:c r="D6" s="11" t="n">
        <x:v>50</x:v>
      </x:c>
      <x:c r="E6" s="11" t="n">
        <x:v>120</x:v>
      </x:c>
      <x:c r="F6" s="11" t="n">
        <x:f>IF(OR(D6="",E6=""),"",E6/D6)</x:f>
        <x:v>2.4</x:v>
      </x:c>
      <x:c r="G6" t="str">
        <x:v>Sample</x:v>
      </x:c>
      <x:c r="H6" s="12"/>
      <x:c r="I6" t="str">
        <x:v>Yes</x:v>
      </x:c>
      <x:c r="J6" t="str"/>
    </x:row>
    <x:row r="7" ht="15" hidden="0" customHeight="1">
      <x:c r="A7" t="str">
        <x:v>SKU-1002</x:v>
      </x:c>
      <x:c r="B7" t="str">
        <x:v>AMPS plate hardware kit</x:v>
      </x:c>
      <x:c r="C7" s="11" t="n">
        <x:v>0.35</x:v>
      </x:c>
      <x:c r="D7" s="11" t="n">
        <x:v>100</x:v>
      </x:c>
      <x:c r="E7" s="11" t="n">
        <x:v>35</x:v>
      </x:c>
      <x:c r="F7" s="11" t="n">
        <x:f>IF(OR(D7="",E7=""),"",E7/D7)</x:f>
        <x:v>0.35</x:v>
      </x:c>
      <x:c r="G7" t="str">
        <x:v>Sample</x:v>
      </x:c>
      <x:c r="H7" s="12"/>
      <x:c r="I7" t="str">
        <x:v>Yes</x:v>
      </x:c>
      <x:c r="J7" t="str">
        <x:v>Use larger sample size for small hardware.</x:v>
      </x:c>
    </x:row>
    <x:row r="8" ht="15" hidden="0" customHeight="1">
      <x:c r="A8" t="str">
        <x:v>SKU-1003</x:v>
      </x:c>
      <x:c r="B8" t="str">
        <x:v>Forklift mount arm</x:v>
      </x:c>
      <x:c r="C8" s="11" t="n">
        <x:v>8.75</x:v>
      </x:c>
      <x:c r="D8" s="11" t="n">
        <x:v>20</x:v>
      </x:c>
      <x:c r="E8" s="11" t="n">
        <x:v>175</x:v>
      </x:c>
      <x:c r="F8" s="11" t="n">
        <x:f>IF(OR(D8="",E8=""),"",E8/D8)</x:f>
        <x:v>8.75</x:v>
      </x:c>
      <x:c r="G8" t="str">
        <x:v>Sample</x:v>
      </x:c>
      <x:c r="H8" s="12"/>
      <x:c r="I8" t="str">
        <x:v>Yes</x:v>
      </x:c>
      <x:c r="J8" t="str"/>
    </x:row>
    <x:row r="9" ht="15" hidden="0" customHeight="1">
      <x:c r="A9" t="str"/>
      <x:c r="B9" t="str"/>
      <x:c r="C9" s="11" t="str"/>
      <x:c r="D9" s="11" t="str"/>
      <x:c r="E9" s="11" t="str"/>
      <x:c r="F9" s="11" t="str">
        <x:f>IF(OR(D9="",E9=""),"",E9/D9)</x:f>
      </x:c>
      <x:c r="G9" t="str"/>
      <x:c r="H9" s="12"/>
      <x:c r="I9" t="str"/>
      <x:c r="J9" t="str"/>
    </x:row>
    <x:row r="10" ht="15" hidden="0" customHeight="1">
      <x:c r="A10" t="str"/>
      <x:c r="B10" t="str"/>
      <x:c r="C10" s="11" t="str"/>
      <x:c r="D10" s="11" t="str"/>
      <x:c r="E10" s="11" t="str"/>
      <x:c r="F10" s="11" t="str">
        <x:f>IF(OR(D10="",E10=""),"",E10/D10)</x:f>
      </x:c>
      <x:c r="G10" t="str"/>
      <x:c r="H10" s="12"/>
      <x:c r="I10" t="str"/>
      <x:c r="J10" t="str"/>
    </x:row>
    <x:row r="11" ht="15" hidden="0" customHeight="1">
      <x:c r="A11" t="str"/>
      <x:c r="B11" t="str"/>
      <x:c r="C11" s="11" t="str"/>
      <x:c r="D11" s="11" t="str"/>
      <x:c r="E11" s="11" t="str"/>
      <x:c r="F11" s="11" t="str">
        <x:f>IF(OR(D11="",E11=""),"",E11/D11)</x:f>
      </x:c>
      <x:c r="G11" t="str"/>
      <x:c r="H11" s="12"/>
      <x:c r="I11" t="str"/>
      <x:c r="J11" t="str"/>
    </x:row>
    <x:row r="12" ht="15" hidden="0" customHeight="1">
      <x:c r="A12" t="str"/>
      <x:c r="B12" t="str"/>
      <x:c r="C12" s="11" t="str"/>
      <x:c r="D12" s="11" t="str"/>
      <x:c r="E12" s="11" t="str"/>
      <x:c r="F12" s="11" t="str">
        <x:f>IF(OR(D12="",E12=""),"",E12/D12)</x:f>
      </x:c>
      <x:c r="G12" t="str"/>
      <x:c r="H12" s="12"/>
      <x:c r="I12" t="str"/>
      <x:c r="J12" t="str"/>
    </x:row>
  </x:sheetData>
  <x:mergeCells>
    <x:mergeCell ref="A2:H2"/>
  </x:mergeCells>
  <x:pageMargins left="0.7" right="0.7" top="0.75" bottom="0.75" header="0.3" footer="0.3"/>
  <x:tableParts count="1">
    <x:tablePart xmlns:r="http://schemas.openxmlformats.org/officeDocument/2006/relationships" r:id="Rd6591437eab14a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17.790000915527344" hidden="0" customWidth="1"/>
    <x:col min="3" max="3" width="31.290000915527344" hidden="0" customWidth="1"/>
    <x:col min="4" max="4" width="16.559999465942383" hidden="0" customWidth="1"/>
    <x:col min="5" max="5" width="15.34000015258789" hidden="0" customWidth="1"/>
    <x:col min="6" max="6" width="43.560001373291016" hidden="0" customWidth="1"/>
    <x:col min="7" max="7" width="21.469999313354492" hidden="0" customWidth="1"/>
    <x:col min="8" max="8" width="33.7400016784668" hidden="0" customWidth="1"/>
  </x:cols>
  <x:sheetData>
    <x:row r="1" ht="15" hidden="0" customHeight="1">
      <x:c r="A1" s="2" t="str">
        <x:v>Bin Labels</x:v>
      </x:c>
      <x:c r="B1" s="3"/>
      <x:c r="C1" s="3"/>
      <x:c r="D1" s="3"/>
      <x:c r="E1" s="3"/>
      <x:c r="F1" s="3"/>
      <x:c r="G1" s="3"/>
      <x:c r="H1" s="3"/>
    </x:row>
    <x:row r="2" ht="79.19999694824219" hidden="0" customHeight="1">
      <x:c r="A2" s="6" t="str">
        <x:v>Each physical bin gets one barcode. The barcode should scan the Bin Barcode value exactly.</x:v>
      </x:c>
      <x:c r="B2" s="3"/>
      <x:c r="C2" s="3"/>
      <x:c r="D2" s="3"/>
      <x:c r="E2" s="3"/>
      <x:c r="F2" s="3"/>
      <x:c r="G2" s="3"/>
      <x:c r="H2" s="3"/>
    </x:row>
    <x:row r="3"/>
    <x:row r="4" ht="26.399999618530273" hidden="0" customHeight="1">
      <x:c r="A4" s="8" t="str">
        <x:v>Bin Barcode</x:v>
      </x:c>
      <x:c r="B4" s="8" t="str">
        <x:v>SKU</x:v>
      </x:c>
      <x:c r="C4" s="8" t="str">
        <x:v>Product Name</x:v>
      </x:c>
      <x:c r="D4" s="8" t="str">
        <x:v>Empty Bin Weight oz</x:v>
      </x:c>
      <x:c r="E4" s="8" t="str">
        <x:v>Location</x:v>
      </x:c>
      <x:c r="F4" s="8" t="str">
        <x:v>Human Label Text</x:v>
      </x:c>
      <x:c r="G4" s="8" t="str">
        <x:v>Barcode Data</x:v>
      </x:c>
      <x:c r="H4" s="8" t="str">
        <x:v>Notes</x:v>
      </x:c>
    </x:row>
    <x:row r="5" ht="15" hidden="0" customHeight="1">
      <x:c r="A5" t="str">
        <x:v>BIN-0001</x:v>
      </x:c>
      <x:c r="B5" t="str">
        <x:v>EXAMPLE-1.3OZ</x:v>
      </x:c>
      <x:c r="C5" t="str">
        <x:f>IFERROR(XLOOKUP(B5,'SKU Master'!$A$5:$A$504,'SKU Master'!$B$5:$B$504),"")</x:f>
        <x:v>Example part from Katie email</x:v>
      </x:c>
      <x:c r="D5" s="9" t="n">
        <x:v>56</x:v>
      </x:c>
      <x:c r="E5" t="str">
        <x:v>A-01-01</x:v>
      </x:c>
      <x:c r="F5" t="str">
        <x:f>IF(A5="","",A5&amp;" | "&amp;B5&amp;" | "&amp;C5&amp;" | tare "&amp;TEXT(D5,"0.0")&amp;" oz")</x:f>
        <x:v>BIN-0001 | EXAMPLE-1.3OZ | Example part from Katie email | tare 56.0 oz</x:v>
      </x:c>
      <x:c r="G5" t="str">
        <x:f>A5</x:f>
        <x:v>BIN-0001</x:v>
      </x:c>
      <x:c r="H5" t="str">
        <x:v>Example bin for Katie's 20 lb scenario.</x:v>
      </x:c>
    </x:row>
    <x:row r="6" ht="15" hidden="0" customHeight="1">
      <x:c r="A6" t="str">
        <x:v>BIN-0002</x:v>
      </x:c>
      <x:c r="B6" t="str">
        <x:v>SKU-1001</x:v>
      </x:c>
      <x:c r="C6" t="str">
        <x:f>IFERROR(XLOOKUP(B6,'SKU Master'!$A$5:$A$504,'SKU Master'!$B$5:$B$504),"")</x:f>
        <x:v>Tablet mount base</x:v>
      </x:c>
      <x:c r="D6" s="9" t="n">
        <x:v>56</x:v>
      </x:c>
      <x:c r="E6" t="str">
        <x:v>A-01-02</x:v>
      </x:c>
      <x:c r="F6" t="str">
        <x:f>IF(A6="","",A6&amp;" | "&amp;B6&amp;" | "&amp;C6&amp;" | tare "&amp;TEXT(D6,"0.0")&amp;" oz")</x:f>
        <x:v>BIN-0002 | SKU-1001 | Tablet mount base | tare 56.0 oz</x:v>
      </x:c>
      <x:c r="G6" t="str">
        <x:f>A6</x:f>
        <x:v>BIN-0002</x:v>
      </x:c>
      <x:c r="H6" t="str"/>
    </x:row>
    <x:row r="7" ht="15" hidden="0" customHeight="1">
      <x:c r="A7" t="str">
        <x:v>BIN-0003</x:v>
      </x:c>
      <x:c r="B7" t="str">
        <x:v>SKU-1002</x:v>
      </x:c>
      <x:c r="C7" t="str">
        <x:f>IFERROR(XLOOKUP(B7,'SKU Master'!$A$5:$A$504,'SKU Master'!$B$5:$B$504),"")</x:f>
        <x:v>AMPS plate hardware kit</x:v>
      </x:c>
      <x:c r="D7" s="9" t="n">
        <x:v>56</x:v>
      </x:c>
      <x:c r="E7" t="str">
        <x:v>A-01-03</x:v>
      </x:c>
      <x:c r="F7" t="str">
        <x:f>IF(A7="","",A7&amp;" | "&amp;B7&amp;" | "&amp;C7&amp;" | tare "&amp;TEXT(D7,"0.0")&amp;" oz")</x:f>
        <x:v>BIN-0003 | SKU-1002 | AMPS plate hardware kit | tare 56.0 oz</x:v>
      </x:c>
      <x:c r="G7" t="str">
        <x:f>A7</x:f>
        <x:v>BIN-0003</x:v>
      </x:c>
      <x:c r="H7" t="str"/>
    </x:row>
    <x:row r="8" ht="15" hidden="0" customHeight="1">
      <x:c r="A8" t="str">
        <x:v>BIN-0004</x:v>
      </x:c>
      <x:c r="B8" t="str">
        <x:v>SKU-1003</x:v>
      </x:c>
      <x:c r="C8" t="str">
        <x:f>IFERROR(XLOOKUP(B8,'SKU Master'!$A$5:$A$504,'SKU Master'!$B$5:$B$504),"")</x:f>
        <x:v>Forklift mount arm</x:v>
      </x:c>
      <x:c r="D8" s="9" t="n">
        <x:v>56</x:v>
      </x:c>
      <x:c r="E8" t="str">
        <x:v>A-01-04</x:v>
      </x:c>
      <x:c r="F8" t="str">
        <x:f>IF(A8="","",A8&amp;" | "&amp;B8&amp;" | "&amp;C8&amp;" | tare "&amp;TEXT(D8,"0.0")&amp;" oz")</x:f>
        <x:v>BIN-0004 | SKU-1003 | Forklift mount arm | tare 56.0 oz</x:v>
      </x:c>
      <x:c r="G8" t="str">
        <x:f>A8</x:f>
        <x:v>BIN-0004</x:v>
      </x:c>
      <x:c r="H8" t="str"/>
    </x:row>
    <x:row r="9" ht="15" hidden="0" customHeight="1">
      <x:c r="A9" t="str"/>
      <x:c r="B9" t="str"/>
      <x:c r="C9" t="str">
        <x:f>IFERROR(XLOOKUP(B9,'SKU Master'!$A$5:$A$504,'SKU Master'!$B$5:$B$504),"")</x:f>
      </x:c>
      <x:c r="D9" s="9" t="n">
        <x:v>56</x:v>
      </x:c>
      <x:c r="E9" t="str"/>
      <x:c r="F9" t="str">
        <x:f>IF(A9="","",A9&amp;" | "&amp;B9&amp;" | "&amp;C9&amp;" | tare "&amp;TEXT(D9,"0.0")&amp;" oz")</x:f>
      </x:c>
      <x:c r="G9" t="n">
        <x:f>A9</x:f>
        <x:v>0</x:v>
      </x:c>
      <x:c r="H9" t="str"/>
    </x:row>
    <x:row r="10" ht="15" hidden="0" customHeight="1">
      <x:c r="A10" t="str"/>
      <x:c r="B10" t="str"/>
      <x:c r="C10" t="str">
        <x:f>IFERROR(XLOOKUP(B10,'SKU Master'!$A$5:$A$504,'SKU Master'!$B$5:$B$504),"")</x:f>
      </x:c>
      <x:c r="D10" s="9" t="n">
        <x:v>56</x:v>
      </x:c>
      <x:c r="E10" t="str"/>
      <x:c r="F10" t="str">
        <x:f>IF(A10="","",A10&amp;" | "&amp;B10&amp;" | "&amp;C10&amp;" | tare "&amp;TEXT(D10,"0.0")&amp;" oz")</x:f>
      </x:c>
      <x:c r="G10" t="n">
        <x:f>A10</x:f>
        <x:v>0</x:v>
      </x:c>
      <x:c r="H10" t="str"/>
    </x:row>
    <x:row r="11" ht="15" hidden="0" customHeight="1">
      <x:c r="A11" t="str"/>
      <x:c r="B11" t="str"/>
      <x:c r="C11" t="str">
        <x:f>IFERROR(XLOOKUP(B11,'SKU Master'!$A$5:$A$504,'SKU Master'!$B$5:$B$504),"")</x:f>
      </x:c>
      <x:c r="D11" s="9" t="n">
        <x:v>56</x:v>
      </x:c>
      <x:c r="E11" t="str"/>
      <x:c r="F11" t="str">
        <x:f>IF(A11="","",A11&amp;" | "&amp;B11&amp;" | "&amp;C11&amp;" | tare "&amp;TEXT(D11,"0.0")&amp;" oz")</x:f>
      </x:c>
      <x:c r="G11" t="n">
        <x:f>A11</x:f>
        <x:v>0</x:v>
      </x:c>
      <x:c r="H11" t="str"/>
    </x:row>
    <x:row r="12" ht="15" hidden="0" customHeight="1">
      <x:c r="A12" t="str"/>
      <x:c r="B12" t="str"/>
      <x:c r="C12" t="str">
        <x:f>IFERROR(XLOOKUP(B12,'SKU Master'!$A$5:$A$504,'SKU Master'!$B$5:$B$504),"")</x:f>
      </x:c>
      <x:c r="D12" s="9" t="n">
        <x:v>56</x:v>
      </x:c>
      <x:c r="E12" t="str"/>
      <x:c r="F12" t="str">
        <x:f>IF(A12="","",A12&amp;" | "&amp;B12&amp;" | "&amp;C12&amp;" | tare "&amp;TEXT(D12,"0.0")&amp;" oz")</x:f>
      </x:c>
      <x:c r="G12" t="n">
        <x:f>A12</x:f>
        <x:v>0</x:v>
      </x:c>
      <x:c r="H12" t="str"/>
    </x:row>
  </x:sheetData>
  <x:mergeCells>
    <x:mergeCell ref="A2:H2"/>
  </x:mergeCells>
  <x:pageMargins left="0.7" right="0.7" top="0.75" bottom="0.75" header="0.3" footer="0.3"/>
  <x:tableParts count="1">
    <x:tablePart xmlns:r="http://schemas.openxmlformats.org/officeDocument/2006/relationships" r:id="R702a8d23f71f4d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15.34000015258789" hidden="0" customWidth="1"/>
    <x:col min="3" max="3" width="16.559999465942383" hidden="0" customWidth="1"/>
    <x:col min="4" max="4" width="16.559999465942383" hidden="0" customWidth="1"/>
    <x:col min="5" max="5" width="31.290000915527344" hidden="0" customWidth="1"/>
    <x:col min="6" max="6" width="14.720000267028809" hidden="0" customWidth="1"/>
    <x:col min="7" max="7" width="14.720000267028809" hidden="0" customWidth="1"/>
    <x:col min="8" max="8" width="15.34000015258789" hidden="0" customWidth="1"/>
    <x:col min="9" max="9" width="15.34000015258789" hidden="0" customWidth="1"/>
    <x:col min="10" max="10" width="15.34000015258789" hidden="0" customWidth="1"/>
    <x:col min="11" max="11" width="14.109999656677246" hidden="0" customWidth="1"/>
    <x:col min="12" max="12" width="13.5" hidden="0" customWidth="1"/>
    <x:col min="13" max="13" width="13.5" hidden="0" customWidth="1"/>
    <x:col min="14" max="14" width="15.34000015258789" hidden="0" customWidth="1"/>
    <x:col min="15" max="15" width="31.290000915527344" hidden="0" customWidth="1"/>
  </x:cols>
  <x:sheetData>
    <x:row r="1" ht="15" hidden="0" customHeight="1">
      <x:c r="A1" s="2" t="str">
        <x:v>Count Entry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145.1999969482422" hidden="0" customHeight="1">
      <x:c r="A2" s="6" t="str">
        <x:v>Scan the bin barcode into column C, type the total bin weight from the scale in pounds, then review the calculated quantity and status.</x:v>
      </x:c>
      <x:c r="B2" s="3"/>
      <x:c r="C2" s="3"/>
      <x:c r="D2" s="3"/>
      <x:c r="E2" s="3"/>
      <x:c r="F2" s="3"/>
      <x:c r="G2" s="3"/>
      <x:c r="H2" s="3"/>
    </x:row>
    <x:row r="3"/>
    <x:row r="4" ht="26.399999618530273" hidden="0" customHeight="1">
      <x:c r="A4" s="8" t="str">
        <x:v>Count Date</x:v>
      </x:c>
      <x:c r="B4" s="8" t="str">
        <x:v>Operator</x:v>
      </x:c>
      <x:c r="C4" s="8" t="str">
        <x:v>Bin Barcode</x:v>
      </x:c>
      <x:c r="D4" s="8" t="str">
        <x:v>SKU</x:v>
      </x:c>
      <x:c r="E4" s="8" t="str">
        <x:v>Product Name</x:v>
      </x:c>
      <x:c r="F4" s="8" t="str">
        <x:v>Unit Weight oz</x:v>
      </x:c>
      <x:c r="G4" s="8" t="str">
        <x:v>Empty Bin Weight oz</x:v>
      </x:c>
      <x:c r="H4" s="8" t="str">
        <x:v>Total Bin Weight lb</x:v>
      </x:c>
      <x:c r="I4" s="8" t="str">
        <x:v>Total Bin Weight oz</x:v>
      </x:c>
      <x:c r="J4" s="8" t="str">
        <x:v>Net Product Weight oz</x:v>
      </x:c>
      <x:c r="K4" s="8" t="str">
        <x:v>Raw Qty</x:v>
      </x:c>
      <x:c r="L4" s="8" t="str">
        <x:v>Final Qty</x:v>
      </x:c>
      <x:c r="M4" s="8" t="str">
        <x:v>Residual Units</x:v>
      </x:c>
      <x:c r="N4" s="8" t="str">
        <x:v>Status</x:v>
      </x:c>
      <x:c r="O4" s="8" t="str">
        <x:v>Notes</x:v>
      </x:c>
    </x:row>
    <x:row r="5" ht="15" hidden="0" customHeight="1">
      <x:c r="A5" s="12" t="n">
        <x:v>46156</x:v>
      </x:c>
      <x:c r="B5" t="str">
        <x:v>Katie</x:v>
      </x:c>
      <x:c r="C5" t="str">
        <x:v>BIN-0001</x:v>
      </x:c>
      <x:c r="D5" t="str">
        <x:f>IF(C5="","",IFERROR(XLOOKUP(C5,'Bin Labels'!$A$5:$A$504,'Bin Labels'!$B$5:$B$504),""))</x:f>
        <x:v>EXAMPLE-1.3OZ</x:v>
      </x:c>
      <x:c r="E5" t="str">
        <x:f>IF(D5="","",IFERROR(XLOOKUP(D5,'SKU Master'!$A$5:$A$504,'SKU Master'!$B$5:$B$504),""))</x:f>
        <x:v>Example part from Katie email</x:v>
      </x:c>
      <x:c r="F5" s="9" t="n">
        <x:f>IF(D5="","",IFERROR(XLOOKUP(D5,'SKU Master'!$A$5:$A$504,'SKU Master'!$C$5:$C$504),""))</x:f>
        <x:v>1.3</x:v>
      </x:c>
      <x:c r="G5" s="9" t="n">
        <x:f>IF(C5="","",IFERROR(XLOOKUP(C5,'Bin Labels'!$A$5:$A$504,'Bin Labels'!$D$5:$D$504),Settings!$B$5))</x:f>
        <x:v>56</x:v>
      </x:c>
      <x:c r="H5" s="9" t="n">
        <x:v>20</x:v>
      </x:c>
      <x:c r="I5" s="9" t="n">
        <x:f>IF(H5="","",H5*16)</x:f>
        <x:v>320</x:v>
      </x:c>
      <x:c r="J5" s="9" t="n">
        <x:f>IF(I5="","",I5-G5)</x:f>
        <x:v>264</x:v>
      </x:c>
      <x:c r="K5" s="9" t="n">
        <x:f>IF(OR(J5="",F5=""),"",J5/F5)</x:f>
        <x:v>203.07692307692307</x:v>
      </x:c>
      <x:c r="L5" s="13" t="n">
        <x:f>IF(K5="","",ROUND(K5,0))</x:f>
        <x:v>203</x:v>
      </x:c>
      <x:c r="M5" s="9" t="n">
        <x:f>IF(K5="","",ABS(K5-L5))</x:f>
        <x:v>0.07692307692306599</x:v>
      </x:c>
      <x:c r="N5" s="1" t="str">
        <x:f>IF(C5="","",IF(D5="","UNKNOWN BIN",IF(OR(F5="",F5&lt;=0),"MISSING UNIT WT",IF(J5&lt;0,"GROSS &lt; TARE",IF(M5&gt;Settings!$B$6,"REWEIGH","OK")))))</x:f>
        <x:v>OK</x:v>
      </x:c>
      <x:c r="O5" t="str">
        <x:v>Example: should calculate 203 units.</x:v>
      </x:c>
    </x:row>
    <x:row r="6" ht="15" hidden="0" customHeight="1">
      <x:c r="A6" s="12" t="str"/>
      <x:c r="B6" t="str"/>
      <x:c r="C6" t="str"/>
      <x:c r="D6" t="str">
        <x:f>IF(C6="","",IFERROR(XLOOKUP(C6,'Bin Labels'!$A$5:$A$504,'Bin Labels'!$B$5:$B$504),""))</x:f>
      </x:c>
      <x:c r="E6" t="str">
        <x:f>IF(D6="","",IFERROR(XLOOKUP(D6,'SKU Master'!$A$5:$A$504,'SKU Master'!$B$5:$B$504),""))</x:f>
      </x:c>
      <x:c r="F6" s="9" t="str">
        <x:f>IF(D6="","",IFERROR(XLOOKUP(D6,'SKU Master'!$A$5:$A$504,'SKU Master'!$C$5:$C$504),""))</x:f>
      </x:c>
      <x:c r="G6" s="9" t="str">
        <x:f>IF(C6="","",IFERROR(XLOOKUP(C6,'Bin Labels'!$A$5:$A$504,'Bin Labels'!$D$5:$D$504),Settings!$B$5))</x:f>
      </x:c>
      <x:c r="H6" s="9" t="str"/>
      <x:c r="I6" s="9" t="str">
        <x:f>IF(H6="","",H6*16)</x:f>
      </x:c>
      <x:c r="J6" s="9" t="str">
        <x:f>IF(I6="","",I6-G6)</x:f>
      </x:c>
      <x:c r="K6" s="9" t="str">
        <x:f>IF(OR(J6="",F6=""),"",J6/F6)</x:f>
      </x:c>
      <x:c r="L6" s="13" t="str">
        <x:f>IF(K6="","",ROUND(K6,0))</x:f>
      </x:c>
      <x:c r="M6" s="9" t="str">
        <x:f>IF(K6="","",ABS(K6-L6))</x:f>
      </x:c>
      <x:c r="N6" s="1" t="str">
        <x:f>IF(C6="","",IF(D6="","UNKNOWN BIN",IF(OR(F6="",F6&lt;=0),"MISSING UNIT WT",IF(J6&lt;0,"GROSS &lt; TARE",IF(M6&gt;Settings!$B$6,"REWEIGH","OK")))))</x:f>
      </x:c>
      <x:c r="O6" t="str"/>
    </x:row>
    <x:row r="7" ht="15" hidden="0" customHeight="1">
      <x:c r="A7" s="12" t="str"/>
      <x:c r="B7" t="str"/>
      <x:c r="C7" t="str"/>
      <x:c r="D7" t="str">
        <x:f>IF(C7="","",IFERROR(XLOOKUP(C7,'Bin Labels'!$A$5:$A$504,'Bin Labels'!$B$5:$B$504),""))</x:f>
      </x:c>
      <x:c r="E7" t="str">
        <x:f>IF(D7="","",IFERROR(XLOOKUP(D7,'SKU Master'!$A$5:$A$504,'SKU Master'!$B$5:$B$504),""))</x:f>
      </x:c>
      <x:c r="F7" s="9" t="str">
        <x:f>IF(D7="","",IFERROR(XLOOKUP(D7,'SKU Master'!$A$5:$A$504,'SKU Master'!$C$5:$C$504),""))</x:f>
      </x:c>
      <x:c r="G7" s="9" t="str">
        <x:f>IF(C7="","",IFERROR(XLOOKUP(C7,'Bin Labels'!$A$5:$A$504,'Bin Labels'!$D$5:$D$504),Settings!$B$5))</x:f>
      </x:c>
      <x:c r="H7" s="9" t="str"/>
      <x:c r="I7" s="9" t="str">
        <x:f>IF(H7="","",H7*16)</x:f>
      </x:c>
      <x:c r="J7" s="9" t="str">
        <x:f>IF(I7="","",I7-G7)</x:f>
      </x:c>
      <x:c r="K7" s="9" t="str">
        <x:f>IF(OR(J7="",F7=""),"",J7/F7)</x:f>
      </x:c>
      <x:c r="L7" s="13" t="str">
        <x:f>IF(K7="","",ROUND(K7,0))</x:f>
      </x:c>
      <x:c r="M7" s="9" t="str">
        <x:f>IF(K7="","",ABS(K7-L7))</x:f>
      </x:c>
      <x:c r="N7" s="1" t="str">
        <x:f>IF(C7="","",IF(D7="","UNKNOWN BIN",IF(OR(F7="",F7&lt;=0),"MISSING UNIT WT",IF(J7&lt;0,"GROSS &lt; TARE",IF(M7&gt;Settings!$B$6,"REWEIGH","OK")))))</x:f>
      </x:c>
      <x:c r="O7" t="str"/>
    </x:row>
    <x:row r="8" ht="15" hidden="0" customHeight="1">
      <x:c r="A8" s="12" t="str"/>
      <x:c r="B8" t="str"/>
      <x:c r="C8" t="str"/>
      <x:c r="D8" t="str">
        <x:f>IF(C8="","",IFERROR(XLOOKUP(C8,'Bin Labels'!$A$5:$A$504,'Bin Labels'!$B$5:$B$504),""))</x:f>
      </x:c>
      <x:c r="E8" t="str">
        <x:f>IF(D8="","",IFERROR(XLOOKUP(D8,'SKU Master'!$A$5:$A$504,'SKU Master'!$B$5:$B$504),""))</x:f>
      </x:c>
      <x:c r="F8" s="9" t="str">
        <x:f>IF(D8="","",IFERROR(XLOOKUP(D8,'SKU Master'!$A$5:$A$504,'SKU Master'!$C$5:$C$504),""))</x:f>
      </x:c>
      <x:c r="G8" s="9" t="str">
        <x:f>IF(C8="","",IFERROR(XLOOKUP(C8,'Bin Labels'!$A$5:$A$504,'Bin Labels'!$D$5:$D$504),Settings!$B$5))</x:f>
      </x:c>
      <x:c r="H8" s="9" t="str"/>
      <x:c r="I8" s="9" t="str">
        <x:f>IF(H8="","",H8*16)</x:f>
      </x:c>
      <x:c r="J8" s="9" t="str">
        <x:f>IF(I8="","",I8-G8)</x:f>
      </x:c>
      <x:c r="K8" s="9" t="str">
        <x:f>IF(OR(J8="",F8=""),"",J8/F8)</x:f>
      </x:c>
      <x:c r="L8" s="13" t="str">
        <x:f>IF(K8="","",ROUND(K8,0))</x:f>
      </x:c>
      <x:c r="M8" s="9" t="str">
        <x:f>IF(K8="","",ABS(K8-L8))</x:f>
      </x:c>
      <x:c r="N8" s="1" t="str">
        <x:f>IF(C8="","",IF(D8="","UNKNOWN BIN",IF(OR(F8="",F8&lt;=0),"MISSING UNIT WT",IF(J8&lt;0,"GROSS &lt; TARE",IF(M8&gt;Settings!$B$6,"REWEIGH","OK")))))</x:f>
      </x:c>
      <x:c r="O8" t="str"/>
    </x:row>
    <x:row r="9" ht="15" hidden="0" customHeight="1">
      <x:c r="A9" s="12" t="str"/>
      <x:c r="B9" t="str"/>
      <x:c r="C9" t="str"/>
      <x:c r="D9" t="str">
        <x:f>IF(C9="","",IFERROR(XLOOKUP(C9,'Bin Labels'!$A$5:$A$504,'Bin Labels'!$B$5:$B$504),""))</x:f>
      </x:c>
      <x:c r="E9" t="str">
        <x:f>IF(D9="","",IFERROR(XLOOKUP(D9,'SKU Master'!$A$5:$A$504,'SKU Master'!$B$5:$B$504),""))</x:f>
      </x:c>
      <x:c r="F9" s="9" t="str">
        <x:f>IF(D9="","",IFERROR(XLOOKUP(D9,'SKU Master'!$A$5:$A$504,'SKU Master'!$C$5:$C$504),""))</x:f>
      </x:c>
      <x:c r="G9" s="9" t="str">
        <x:f>IF(C9="","",IFERROR(XLOOKUP(C9,'Bin Labels'!$A$5:$A$504,'Bin Labels'!$D$5:$D$504),Settings!$B$5))</x:f>
      </x:c>
      <x:c r="H9" s="9" t="str"/>
      <x:c r="I9" s="9" t="str">
        <x:f>IF(H9="","",H9*16)</x:f>
      </x:c>
      <x:c r="J9" s="9" t="str">
        <x:f>IF(I9="","",I9-G9)</x:f>
      </x:c>
      <x:c r="K9" s="9" t="str">
        <x:f>IF(OR(J9="",F9=""),"",J9/F9)</x:f>
      </x:c>
      <x:c r="L9" s="13" t="str">
        <x:f>IF(K9="","",ROUND(K9,0))</x:f>
      </x:c>
      <x:c r="M9" s="9" t="str">
        <x:f>IF(K9="","",ABS(K9-L9))</x:f>
      </x:c>
      <x:c r="N9" s="1" t="str">
        <x:f>IF(C9="","",IF(D9="","UNKNOWN BIN",IF(OR(F9="",F9&lt;=0),"MISSING UNIT WT",IF(J9&lt;0,"GROSS &lt; TARE",IF(M9&gt;Settings!$B$6,"REWEIGH","OK")))))</x:f>
      </x:c>
      <x:c r="O9" t="str"/>
    </x:row>
    <x:row r="10" ht="15" hidden="0" customHeight="1">
      <x:c r="A10" s="12" t="str"/>
      <x:c r="B10" t="str"/>
      <x:c r="C10" t="str"/>
      <x:c r="D10" t="str">
        <x:f>IF(C10="","",IFERROR(XLOOKUP(C10,'Bin Labels'!$A$5:$A$504,'Bin Labels'!$B$5:$B$504),""))</x:f>
      </x:c>
      <x:c r="E10" t="str">
        <x:f>IF(D10="","",IFERROR(XLOOKUP(D10,'SKU Master'!$A$5:$A$504,'SKU Master'!$B$5:$B$504),""))</x:f>
      </x:c>
      <x:c r="F10" s="9" t="str">
        <x:f>IF(D10="","",IFERROR(XLOOKUP(D10,'SKU Master'!$A$5:$A$504,'SKU Master'!$C$5:$C$504),""))</x:f>
      </x:c>
      <x:c r="G10" s="9" t="str">
        <x:f>IF(C10="","",IFERROR(XLOOKUP(C10,'Bin Labels'!$A$5:$A$504,'Bin Labels'!$D$5:$D$504),Settings!$B$5))</x:f>
      </x:c>
      <x:c r="H10" s="9" t="str"/>
      <x:c r="I10" s="9" t="str">
        <x:f>IF(H10="","",H10*16)</x:f>
      </x:c>
      <x:c r="J10" s="9" t="str">
        <x:f>IF(I10="","",I10-G10)</x:f>
      </x:c>
      <x:c r="K10" s="9" t="str">
        <x:f>IF(OR(J10="",F10=""),"",J10/F10)</x:f>
      </x:c>
      <x:c r="L10" s="13" t="str">
        <x:f>IF(K10="","",ROUND(K10,0))</x:f>
      </x:c>
      <x:c r="M10" s="9" t="str">
        <x:f>IF(K10="","",ABS(K10-L10))</x:f>
      </x:c>
      <x:c r="N10" s="1" t="str">
        <x:f>IF(C10="","",IF(D10="","UNKNOWN BIN",IF(OR(F10="",F10&lt;=0),"MISSING UNIT WT",IF(J10&lt;0,"GROSS &lt; TARE",IF(M10&gt;Settings!$B$6,"REWEIGH","OK")))))</x:f>
      </x:c>
      <x:c r="O10" t="str"/>
    </x:row>
    <x:row r="11" ht="15" hidden="0" customHeight="1">
      <x:c r="A11" s="12" t="str"/>
      <x:c r="B11" t="str"/>
      <x:c r="C11" t="str"/>
      <x:c r="D11" t="str">
        <x:f>IF(C11="","",IFERROR(XLOOKUP(C11,'Bin Labels'!$A$5:$A$504,'Bin Labels'!$B$5:$B$504),""))</x:f>
      </x:c>
      <x:c r="E11" t="str">
        <x:f>IF(D11="","",IFERROR(XLOOKUP(D11,'SKU Master'!$A$5:$A$504,'SKU Master'!$B$5:$B$504),""))</x:f>
      </x:c>
      <x:c r="F11" s="9" t="str">
        <x:f>IF(D11="","",IFERROR(XLOOKUP(D11,'SKU Master'!$A$5:$A$504,'SKU Master'!$C$5:$C$504),""))</x:f>
      </x:c>
      <x:c r="G11" s="9" t="str">
        <x:f>IF(C11="","",IFERROR(XLOOKUP(C11,'Bin Labels'!$A$5:$A$504,'Bin Labels'!$D$5:$D$504),Settings!$B$5))</x:f>
      </x:c>
      <x:c r="H11" s="9" t="str"/>
      <x:c r="I11" s="9" t="str">
        <x:f>IF(H11="","",H11*16)</x:f>
      </x:c>
      <x:c r="J11" s="9" t="str">
        <x:f>IF(I11="","",I11-G11)</x:f>
      </x:c>
      <x:c r="K11" s="9" t="str">
        <x:f>IF(OR(J11="",F11=""),"",J11/F11)</x:f>
      </x:c>
      <x:c r="L11" s="13" t="str">
        <x:f>IF(K11="","",ROUND(K11,0))</x:f>
      </x:c>
      <x:c r="M11" s="9" t="str">
        <x:f>IF(K11="","",ABS(K11-L11))</x:f>
      </x:c>
      <x:c r="N11" s="1" t="str">
        <x:f>IF(C11="","",IF(D11="","UNKNOWN BIN",IF(OR(F11="",F11&lt;=0),"MISSING UNIT WT",IF(J11&lt;0,"GROSS &lt; TARE",IF(M11&gt;Settings!$B$6,"REWEIGH","OK")))))</x:f>
      </x:c>
      <x:c r="O11" t="str"/>
    </x:row>
    <x:row r="12" ht="15" hidden="0" customHeight="1">
      <x:c r="A12" s="12" t="str"/>
      <x:c r="B12" t="str"/>
      <x:c r="C12" t="str"/>
      <x:c r="D12" t="str">
        <x:f>IF(C12="","",IFERROR(XLOOKUP(C12,'Bin Labels'!$A$5:$A$504,'Bin Labels'!$B$5:$B$504),""))</x:f>
      </x:c>
      <x:c r="E12" t="str">
        <x:f>IF(D12="","",IFERROR(XLOOKUP(D12,'SKU Master'!$A$5:$A$504,'SKU Master'!$B$5:$B$504),""))</x:f>
      </x:c>
      <x:c r="F12" s="9" t="str">
        <x:f>IF(D12="","",IFERROR(XLOOKUP(D12,'SKU Master'!$A$5:$A$504,'SKU Master'!$C$5:$C$504),""))</x:f>
      </x:c>
      <x:c r="G12" s="9" t="str">
        <x:f>IF(C12="","",IFERROR(XLOOKUP(C12,'Bin Labels'!$A$5:$A$504,'Bin Labels'!$D$5:$D$504),Settings!$B$5))</x:f>
      </x:c>
      <x:c r="H12" s="9" t="str"/>
      <x:c r="I12" s="9" t="str">
        <x:f>IF(H12="","",H12*16)</x:f>
      </x:c>
      <x:c r="J12" s="9" t="str">
        <x:f>IF(I12="","",I12-G12)</x:f>
      </x:c>
      <x:c r="K12" s="9" t="str">
        <x:f>IF(OR(J12="",F12=""),"",J12/F12)</x:f>
      </x:c>
      <x:c r="L12" s="13" t="str">
        <x:f>IF(K12="","",ROUND(K12,0))</x:f>
      </x:c>
      <x:c r="M12" s="9" t="str">
        <x:f>IF(K12="","",ABS(K12-L12))</x:f>
      </x:c>
      <x:c r="N12" s="1" t="str">
        <x:f>IF(C12="","",IF(D12="","UNKNOWN BIN",IF(OR(F12="",F12&lt;=0),"MISSING UNIT WT",IF(J12&lt;0,"GROSS &lt; TARE",IF(M12&gt;Settings!$B$6,"REWEIGH","OK")))))</x:f>
      </x:c>
      <x:c r="O12" t="str"/>
    </x:row>
    <x:row r="13" ht="15" hidden="0" customHeight="1">
      <x:c r="A13" s="12" t="str"/>
      <x:c r="B13" t="str"/>
      <x:c r="C13" t="str"/>
      <x:c r="D13" t="str">
        <x:f>IF(C13="","",IFERROR(XLOOKUP(C13,'Bin Labels'!$A$5:$A$504,'Bin Labels'!$B$5:$B$504),""))</x:f>
      </x:c>
      <x:c r="E13" t="str">
        <x:f>IF(D13="","",IFERROR(XLOOKUP(D13,'SKU Master'!$A$5:$A$504,'SKU Master'!$B$5:$B$504),""))</x:f>
      </x:c>
      <x:c r="F13" s="9" t="str">
        <x:f>IF(D13="","",IFERROR(XLOOKUP(D13,'SKU Master'!$A$5:$A$504,'SKU Master'!$C$5:$C$504),""))</x:f>
      </x:c>
      <x:c r="G13" s="9" t="str">
        <x:f>IF(C13="","",IFERROR(XLOOKUP(C13,'Bin Labels'!$A$5:$A$504,'Bin Labels'!$D$5:$D$504),Settings!$B$5))</x:f>
      </x:c>
      <x:c r="H13" s="9" t="str"/>
      <x:c r="I13" s="9" t="str">
        <x:f>IF(H13="","",H13*16)</x:f>
      </x:c>
      <x:c r="J13" s="9" t="str">
        <x:f>IF(I13="","",I13-G13)</x:f>
      </x:c>
      <x:c r="K13" s="9" t="str">
        <x:f>IF(OR(J13="",F13=""),"",J13/F13)</x:f>
      </x:c>
      <x:c r="L13" s="13" t="str">
        <x:f>IF(K13="","",ROUND(K13,0))</x:f>
      </x:c>
      <x:c r="M13" s="9" t="str">
        <x:f>IF(K13="","",ABS(K13-L13))</x:f>
      </x:c>
      <x:c r="N13" s="1" t="str">
        <x:f>IF(C13="","",IF(D13="","UNKNOWN BIN",IF(OR(F13="",F13&lt;=0),"MISSING UNIT WT",IF(J13&lt;0,"GROSS &lt; TARE",IF(M13&gt;Settings!$B$6,"REWEIGH","OK")))))</x:f>
      </x:c>
      <x:c r="O13" t="str"/>
    </x:row>
    <x:row r="14" ht="15" hidden="0" customHeight="1">
      <x:c r="A14" s="12" t="str"/>
      <x:c r="B14" t="str"/>
      <x:c r="C14" t="str"/>
      <x:c r="D14" t="str">
        <x:f>IF(C14="","",IFERROR(XLOOKUP(C14,'Bin Labels'!$A$5:$A$504,'Bin Labels'!$B$5:$B$504),""))</x:f>
      </x:c>
      <x:c r="E14" t="str">
        <x:f>IF(D14="","",IFERROR(XLOOKUP(D14,'SKU Master'!$A$5:$A$504,'SKU Master'!$B$5:$B$504),""))</x:f>
      </x:c>
      <x:c r="F14" s="9" t="str">
        <x:f>IF(D14="","",IFERROR(XLOOKUP(D14,'SKU Master'!$A$5:$A$504,'SKU Master'!$C$5:$C$504),""))</x:f>
      </x:c>
      <x:c r="G14" s="9" t="str">
        <x:f>IF(C14="","",IFERROR(XLOOKUP(C14,'Bin Labels'!$A$5:$A$504,'Bin Labels'!$D$5:$D$504),Settings!$B$5))</x:f>
      </x:c>
      <x:c r="H14" s="9" t="str"/>
      <x:c r="I14" s="9" t="str">
        <x:f>IF(H14="","",H14*16)</x:f>
      </x:c>
      <x:c r="J14" s="9" t="str">
        <x:f>IF(I14="","",I14-G14)</x:f>
      </x:c>
      <x:c r="K14" s="9" t="str">
        <x:f>IF(OR(J14="",F14=""),"",J14/F14)</x:f>
      </x:c>
      <x:c r="L14" s="13" t="str">
        <x:f>IF(K14="","",ROUND(K14,0))</x:f>
      </x:c>
      <x:c r="M14" s="9" t="str">
        <x:f>IF(K14="","",ABS(K14-L14))</x:f>
      </x:c>
      <x:c r="N14" s="1" t="str">
        <x:f>IF(C14="","",IF(D14="","UNKNOWN BIN",IF(OR(F14="",F14&lt;=0),"MISSING UNIT WT",IF(J14&lt;0,"GROSS &lt; TARE",IF(M14&gt;Settings!$B$6,"REWEIGH","OK")))))</x:f>
      </x:c>
      <x:c r="O14" t="str"/>
    </x:row>
  </x:sheetData>
  <x:mergeCells>
    <x:mergeCell ref="A2:H2"/>
  </x:mergeCells>
  <x:pageMargins left="0.7" right="0.7" top="0.75" bottom="0.75" header="0.3" footer="0.3"/>
  <x:tableParts count="1">
    <x:tablePart xmlns:r="http://schemas.openxmlformats.org/officeDocument/2006/relationships" r:id="R91c08b1c5b4048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90000915527344" hidden="0" customWidth="1"/>
    <x:col min="2" max="2" width="16.559999465942383" hidden="0" customWidth="1"/>
    <x:col min="3" max="3" width="43.560001373291016" hidden="0" customWidth="1"/>
  </x:cols>
  <x:sheetData>
    <x:row r="1" ht="15" hidden="0" customHeight="1">
      <x:c r="A1" s="2" t="str">
        <x:v>Accuracy Model</x:v>
      </x:c>
      <x:c r="B1" s="3"/>
      <x:c r="C1" s="3"/>
    </x:row>
    <x:row r="2" ht="39.599998474121094" hidden="0" customHeight="1">
      <x:c r="A2" s="6" t="str">
        <x:v>Use this to decide whether a scale is precise enough for light parts and high-value SKUs.</x:v>
      </x:c>
      <x:c r="B2" s="3"/>
      <x:c r="C2" s="3"/>
      <x:c r="D2" s="3"/>
      <x:c r="E2" s="3"/>
      <x:c r="F2" s="3"/>
      <x:c r="G2" s="3"/>
      <x:c r="H2" s="3"/>
    </x:row>
    <x:row r="3"/>
    <x:row r="4" ht="15" hidden="0" customHeight="1">
      <x:c r="A4" s="8" t="str">
        <x:v>Input / Output</x:v>
      </x:c>
      <x:c r="B4" s="8" t="str">
        <x:v>Value</x:v>
      </x:c>
      <x:c r="C4" s="8" t="str">
        <x:v>Notes</x:v>
      </x:c>
    </x:row>
    <x:row r="5" ht="15" hidden="0" customHeight="1">
      <x:c r="A5" t="str">
        <x:v>Total bin weight lb</x:v>
      </x:c>
      <x:c r="B5" s="9" t="n">
        <x:v>20</x:v>
      </x:c>
      <x:c r="C5" t="str">
        <x:v>Gross weight from the scale.</x:v>
      </x:c>
    </x:row>
    <x:row r="6" ht="15" hidden="0" customHeight="1">
      <x:c r="A6" t="str">
        <x:v>Empty bin weight oz</x:v>
      </x:c>
      <x:c r="B6" s="9" t="n">
        <x:v>56</x:v>
      </x:c>
      <x:c r="C6" t="str">
        <x:v>Use exact bin tare when possible.</x:v>
      </x:c>
    </x:row>
    <x:row r="7" ht="15" hidden="0" customHeight="1">
      <x:c r="A7" t="str">
        <x:v>Unit part weight oz</x:v>
      </x:c>
      <x:c r="B7" s="9" t="n">
        <x:v>1.3</x:v>
      </x:c>
      <x:c r="C7" t="str">
        <x:v>From SKU Master.</x:v>
      </x:c>
    </x:row>
    <x:row r="8" ht="15" hidden="0" customHeight="1">
      <x:c r="A8" t="str">
        <x:v>Scale readability oz</x:v>
      </x:c>
      <x:c r="B8" s="9" t="n">
        <x:f>Settings!$B$7</x:f>
        <x:v>0.8</x:v>
      </x:c>
      <x:c r="C8" t="str">
        <x:v>Defaults from Settings.</x:v>
      </x:c>
    </x:row>
    <x:row r="9" ht="15" hidden="0" customHeight="1">
      <x:c r="A9" t="str">
        <x:v>Bin tare variance oz</x:v>
      </x:c>
      <x:c r="B9" s="9" t="n">
        <x:f>Settings!$B$8</x:f>
        <x:v>1</x:v>
      </x:c>
      <x:c r="C9" t="str">
        <x:v>Defaults from Settings.</x:v>
      </x:c>
    </x:row>
    <x:row r="10" ht="15" hidden="0" customHeight="1">
      <x:c r="A10" t="str">
        <x:v>Unit weight error %</x:v>
      </x:c>
      <x:c r="B10" s="10" t="n">
        <x:f>Settings!$B$9</x:f>
        <x:v>0.01</x:v>
      </x:c>
      <x:c r="C10" t="str">
        <x:v>Defaults from Settings.</x:v>
      </x:c>
    </x:row>
    <x:row r="11" ht="15" hidden="0" customHeight="1">
      <x:c r="A11" t="str">
        <x:v>Gross weight oz</x:v>
      </x:c>
      <x:c r="B11" s="9" t="n">
        <x:f>B5*16</x:f>
        <x:v>320</x:v>
      </x:c>
      <x:c r="C11" t="str">
        <x:v>Formula.</x:v>
      </x:c>
    </x:row>
    <x:row r="12" ht="15" hidden="0" customHeight="1">
      <x:c r="A12" t="str">
        <x:v>Net product weight oz</x:v>
      </x:c>
      <x:c r="B12" s="9" t="n">
        <x:f>B11-B6</x:f>
        <x:v>264</x:v>
      </x:c>
      <x:c r="C12" t="str">
        <x:v>Formula.</x:v>
      </x:c>
    </x:row>
    <x:row r="13" ht="15" hidden="0" customHeight="1">
      <x:c r="A13" t="str">
        <x:v>Calculated quantity</x:v>
      </x:c>
      <x:c r="B13" s="9" t="n">
        <x:f>B12/B7</x:f>
        <x:v>203.07692307692307</x:v>
      </x:c>
      <x:c r="C13" t="str">
        <x:v>Formula.</x:v>
      </x:c>
    </x:row>
    <x:row r="14" ht="15" hidden="0" customHeight="1">
      <x:c r="A14" t="str">
        <x:v>Estimated qty uncertainty</x:v>
      </x:c>
      <x:c r="B14" s="9" t="n">
        <x:f>((B8/2)+B9+(B12*B10))/B7</x:f>
        <x:v>3.1076923076923078</x:v>
      </x:c>
      <x:c r="C14" t="str">
        <x:v>Worst-case planning estimate.</x:v>
      </x:c>
    </x:row>
    <x:row r="15" ht="15" hidden="0" customHeight="1">
      <x:c r="A15" t="str">
        <x:v>Recommendation</x:v>
      </x:c>
      <x:c r="B15" t="str">
        <x:f>IF(B14&lt;=1,"Good for routine counts",IF(B14&lt;=5,"Good, but spot-check high-value bins","Use finer scale or manual count for this SKU"))</x:f>
        <x:v>Good, but spot-check high-value bins</x:v>
      </x:c>
      <x:c r="C15" t="str">
        <x:v>Formula.</x:v>
      </x:c>
    </x:row>
  </x:sheetData>
  <x:mergeCells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020000457763672" hidden="0" customWidth="1"/>
    <x:col min="2" max="2" width="26.3799991607666" hidden="0" customWidth="1"/>
    <x:col min="3" max="3" width="27.610000610351562" hidden="0" customWidth="1"/>
    <x:col min="4" max="4" width="17.790000915527344" hidden="0" customWidth="1"/>
    <x:col min="5" max="5" width="41.099998474121094" hidden="0" customWidth="1"/>
    <x:col min="6" max="6" width="38.650001525878906" hidden="0" customWidth="1"/>
  </x:cols>
  <x:sheetData>
    <x:row r="1" ht="15" hidden="0" customHeight="1">
      <x:c r="A1" s="2" t="str">
        <x:v>Procurement Plan</x:v>
      </x:c>
      <x:c r="B1" s="3"/>
      <x:c r="C1" s="3"/>
      <x:c r="D1" s="3"/>
      <x:c r="E1" s="3"/>
      <x:c r="F1" s="3"/>
    </x:row>
    <x:row r="2" ht="39.599998474121094" hidden="0" customHeight="1">
      <x:c r="A2" s="6" t="str">
        <x:v>Shortlist of what to buy first, what to defer, and why.</x:v>
      </x:c>
      <x:c r="B2" s="3"/>
      <x:c r="C2" s="3"/>
      <x:c r="D2" s="3"/>
      <x:c r="E2" s="3"/>
      <x:c r="F2" s="3"/>
      <x:c r="G2" s="3"/>
      <x:c r="H2" s="3"/>
    </x:row>
    <x:row r="3"/>
    <x:row r="4" ht="15" hidden="0" customHeight="1">
      <x:c r="A4" s="8" t="str">
        <x:v>Priority</x:v>
      </x:c>
      <x:c r="B4" s="8" t="str">
        <x:v>Category</x:v>
      </x:c>
      <x:c r="C4" s="8" t="str">
        <x:v>Recommended Type</x:v>
      </x:c>
      <x:c r="D4" s="8" t="str">
        <x:v>Budget Range</x:v>
      </x:c>
      <x:c r="E4" s="8" t="str">
        <x:v>Why</x:v>
      </x:c>
      <x:c r="F4" s="8" t="str">
        <x:v>Notes</x:v>
      </x:c>
    </x:row>
    <x:row r="5" ht="26.399999618530273" hidden="0" customHeight="1">
      <x:c r="A5" s="24" t="str">
        <x:v>Buy first</x:v>
      </x:c>
      <x:c r="B5" s="24" t="str">
        <x:v>Barcode scanner</x:v>
      </x:c>
      <x:c r="C5" s="24" t="str">
        <x:v>Corded USB 2D scanner</x:v>
      </x:c>
      <x:c r="D5" s="24" t="str">
        <x:v>$160-$250 each</x:v>
      </x:c>
      <x:c r="E5" s="24" t="str">
        <x:v>Scans 1D and 2D labels; works as keyboard input in simple tools.</x:v>
      </x:c>
      <x:c r="F5" s="24" t="str">
        <x:v>Zebra DS2208 or Honeywell Voyager XP 1470g class.</x:v>
      </x:c>
    </x:row>
    <x:row r="6" ht="26.399999618530273" hidden="0" customHeight="1">
      <x:c r="A6" s="24" t="str">
        <x:v>Buy first</x:v>
      </x:c>
      <x:c r="B6" s="24" t="str">
        <x:v>Label printer</x:v>
      </x:c>
      <x:c r="C6" s="24" t="str">
        <x:v>Direct thermal label printer</x:v>
      </x:c>
      <x:c r="D6" s="24" t="str">
        <x:v>$250-$1,100</x:v>
      </x:c>
      <x:c r="E6" s="24" t="str">
        <x:v>Prints durable bin labels with human text plus Code 128 barcode.</x:v>
      </x:c>
      <x:c r="F6" s="24" t="str">
        <x:v>Brother QL-820NWBc for office/simple labels; Zebra ZD421 for warehouse-standard labels.</x:v>
      </x:c>
    </x:row>
    <x:row r="7" ht="26.399999618530273" hidden="0" customHeight="1">
      <x:c r="A7" s="24" t="str">
        <x:v>Buy first</x:v>
      </x:c>
      <x:c r="B7" s="24" t="str">
        <x:v>Labels</x:v>
      </x:c>
      <x:c r="C7" s="24" t="str">
        <x:v>2x1, 3x1, or 4x2 thermal labels</x:v>
      </x:c>
      <x:c r="D7" s="24" t="str">
        <x:v>$20-$80/roll</x:v>
      </x:c>
      <x:c r="E7" s="24" t="str">
        <x:v>Readable human text and enough quiet zone for reliable scanning.</x:v>
      </x:c>
      <x:c r="F7" s="24" t="str">
        <x:v>Use synthetic/thermal-transfer labels if bins get rubbed or dirty.</x:v>
      </x:c>
    </x:row>
    <x:row r="8" ht="26.399999618530273" hidden="0" customHeight="1">
      <x:c r="A8" s="24" t="str">
        <x:v>Use existing initially</x:v>
      </x:c>
      <x:c r="B8" s="24" t="str">
        <x:v>Scale</x:v>
      </x:c>
      <x:c r="C8" s="24" t="str">
        <x:v>Existing bench/shipping scale</x:v>
      </x:c>
      <x:c r="D8" s="24" t="str">
        <x:v>$0</x:v>
      </x:c>
      <x:c r="E8" s="24" t="str">
        <x:v>Manual gross weight entry proves the process before integration.</x:v>
      </x:c>
      <x:c r="F8" s="24" t="str">
        <x:v>Confirm capacity and readability; avoid coarse 1+ oz readability for small parts.</x:v>
      </x:c>
    </x:row>
    <x:row r="9" ht="26.399999618530273" hidden="0" customHeight="1">
      <x:c r="A9" s="24" t="str">
        <x:v>Phase 2</x:v>
      </x:c>
      <x:c r="B9" s="24" t="str">
        <x:v>Scale</x:v>
      </x:c>
      <x:c r="C9" s="24" t="str">
        <x:v>USB/RS-232 bench scale</x:v>
      </x:c>
      <x:c r="D9" s="24" t="str">
        <x:v>$450-$700+</x:v>
      </x:c>
      <x:c r="E9" s="24" t="str">
        <x:v>Allows direct scale capture into app or Excel wedge software.</x:v>
      </x:c>
      <x:c r="F9" s="24" t="str">
        <x:v>CAS GW-150, Brecknell PS-USB, Ohaus Courier class.</x:v>
      </x:c>
    </x:row>
    <x:row r="10" ht="26.399999618530273" hidden="0" customHeight="1">
      <x:c r="A10" s="24" t="str">
        <x:v>Phase 2</x:v>
      </x:c>
      <x:c r="B10" s="24" t="str">
        <x:v>Workstation</x:v>
      </x:c>
      <x:c r="C10" s="24" t="str">
        <x:v>Laptop/tablet on rolling cart</x:v>
      </x:c>
      <x:c r="D10" s="24" t="str">
        <x:v>$0-$800</x:v>
      </x:c>
      <x:c r="E10" s="24" t="str">
        <x:v>Keeps scanner, scale, and count screen at the bin location.</x:v>
      </x:c>
      <x:c r="F10" s="24" t="str">
        <x:v>Use existing laptop if possible.</x:v>
      </x:c>
    </x:row>
    <x:row r="11" ht="26.399999618530273" hidden="0" customHeight="1">
      <x:c r="A11" s="24" t="str">
        <x:v>Phase 2</x:v>
      </x:c>
      <x:c r="B11" s="24" t="str">
        <x:v>Software</x:v>
      </x:c>
      <x:c r="C11" s="24" t="str">
        <x:v>Custom web app or spreadsheet automation</x:v>
      </x:c>
      <x:c r="D11" s="24" t="str">
        <x:v>$2k-$8k internal/dev</x:v>
      </x:c>
      <x:c r="E11" s="24" t="str">
        <x:v>Adds audit trail, user logins, exports, error handling, and scale input.</x:v>
      </x:c>
      <x:c r="F11" s="24" t="str">
        <x:v>Build after the MVP confirms data and workflow.</x:v>
      </x:c>
    </x:row>
    <x:row r="12" ht="26.399999618530273" hidden="0" customHeight="1">
      <x:c r="A12" s="24" t="str">
        <x:v>Optional</x:v>
      </x:c>
      <x:c r="B12" s="24" t="str">
        <x:v>Commercial system</x:v>
      </x:c>
      <x:c r="C12" s="24" t="str">
        <x:v>Counting-scale inventory software</x:v>
      </x:c>
      <x:c r="D12" s="24" t="str">
        <x:v>Quote/demo</x:v>
      </x:c>
      <x:c r="E12" s="24" t="str">
        <x:v>Useful if you want vendor-supported scale databases and ERP integration.</x:v>
      </x:c>
      <x:c r="F12" s="24" t="str">
        <x:v>ITRAX / PLU-style systems may be overkill for this specific workflow.</x:v>
      </x:c>
    </x:row>
    <x:row r="13" ht="15" hidden="0" customHeight="1">
      <x:c r="A13" s="24" t="str">
        <x:v>Optional</x:v>
      </x:c>
      <x:c r="B13" s="24" t="str">
        <x:v>Calibration</x:v>
      </x:c>
      <x:c r="C13" s="24" t="str">
        <x:v>NIST/ISO calibration certificate</x:v>
      </x:c>
      <x:c r="D13" s="24" t="str">
        <x:v>$100-$250 per scale</x:v>
      </x:c>
      <x:c r="E13" s="24" t="str">
        <x:v>Useful for repeatability and audit confidence.</x:v>
      </x:c>
      <x:c r="F13" s="24" t="str">
        <x:v>Consider annually or before inventory week.</x:v>
      </x:c>
    </x:row>
    <x:row r="14" ht="26.399999618530273" hidden="0" customHeight="1">
      <x:c r="A14" s="24" t="str">
        <x:v>Do not buy yet</x:v>
      </x:c>
      <x:c r="B14" s="24" t="str">
        <x:v>Camera AI counting</x:v>
      </x:c>
      <x:c r="C14" s="24" t="str">
        <x:v>Vision/counting AI</x:v>
      </x:c>
      <x:c r="D14" s="24" t="str">
        <x:v>Unknown</x:v>
      </x:c>
      <x:c r="E14" s="24" t="str">
        <x:v>Weight-based counting is simpler and likely more reliable for bins.</x:v>
      </x:c>
      <x:c r="F14" s="24" t="str">
        <x:v>Only revisit for mixed-SKU bins or hard-to-weigh items.</x:v>
      </x:c>
    </x:row>
  </x:sheetData>
  <x:mergeCells>
    <x:mergeCell ref="A2:H2"/>
  </x:mergeCells>
  <x:pageMargins left="0.7" right="0.7" top="0.75" bottom="0.75" header="0.3" footer="0.3"/>
  <x:tableParts count="1">
    <x:tablePart xmlns:r="http://schemas.openxmlformats.org/officeDocument/2006/relationships" r:id="R91418f27e7eb4135"/>
  </x:tableParts>
</x:worksheet>
</file>